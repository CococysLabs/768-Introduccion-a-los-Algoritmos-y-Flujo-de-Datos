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_Lab_Actual" sheetId="2" r:id="rId5"/>
    <sheet state="visible" name="Contenido_Lab_Posterior" sheetId="3" r:id="rId6"/>
  </sheets>
  <definedNames/>
  <calcPr/>
  <extLst>
    <ext uri="GoogleSheetsCustomDataVersion2">
      <go:sheetsCustomData xmlns:go="http://customooxmlschemas.google.com/" r:id="rId7" roundtripDataChecksum="8zwjSo1b+LiSdyE+90UyAsmEsCD8if3iw/STfczkxjk="/>
    </ext>
  </extLst>
</workbook>
</file>

<file path=xl/sharedStrings.xml><?xml version="1.0" encoding="utf-8"?>
<sst xmlns="http://schemas.openxmlformats.org/spreadsheetml/2006/main" count="552" uniqueCount="216">
  <si>
    <t>Nombre del Curso</t>
  </si>
  <si>
    <t>Introducción a los Algoritmos y Flujo de Datos</t>
  </si>
  <si>
    <t>Introducción a ala programación y computación 1</t>
  </si>
  <si>
    <t>Competencias actuales del laboratorio</t>
  </si>
  <si>
    <t>Semestre que aplica</t>
  </si>
  <si>
    <t>Primer Semestre 2026</t>
  </si>
  <si>
    <t>No</t>
  </si>
  <si>
    <t>Competencia</t>
  </si>
  <si>
    <t>Unidad</t>
  </si>
  <si>
    <t>Tema</t>
  </si>
  <si>
    <t>Subtema</t>
  </si>
  <si>
    <t xml:space="preserve">Diseña algoritmos  aplicando diagramas de flujo y pseudocódigo para resolver problemas básicos de lógica computacional </t>
  </si>
  <si>
    <t>1. Introducción a la Programación</t>
  </si>
  <si>
    <t>Introducción a los fundamentos de Programación</t>
  </si>
  <si>
    <t>Algoritmos</t>
  </si>
  <si>
    <t>Diagramas de Flujo</t>
  </si>
  <si>
    <t xml:space="preserve">Diseñar  algoritmos  aplicando diagramas de flujo y pseudocódigo para resolver problemas básicos de lógica computacional </t>
  </si>
  <si>
    <t xml:space="preserve">Describe la evolución de la computadora y sus principales generaciones mediante el análisis de su historia y características técnicas para reconocer la importancia del hardware y software en el desarrollo de la computación </t>
  </si>
  <si>
    <t>Pseudocódigo</t>
  </si>
  <si>
    <t>La computadora</t>
  </si>
  <si>
    <t xml:space="preserve">Colaborar en proyectos de programación utilizando plataformas de control de versiones básicas  promoviendo el trabajo en equipo y la responsabilidad </t>
  </si>
  <si>
    <t>2. Introducción al versionamiento</t>
  </si>
  <si>
    <t>Definición</t>
  </si>
  <si>
    <t>Introducción al manejo de control de versiones</t>
  </si>
  <si>
    <t>Introducción a versionamiento</t>
  </si>
  <si>
    <t>Evolución</t>
  </si>
  <si>
    <t>Herramientas de control de versiones</t>
  </si>
  <si>
    <t xml:space="preserve">Analiza el funcionamiento de la arquitectura Von Neumann mediante el estudio del ciclo de instrucción (fetch-decode-execute) y los componentes de la unidad de control y la ALU para comprender cómo se procesa la información en un sistema computacional </t>
  </si>
  <si>
    <t>Arquitectura y organización VNA</t>
  </si>
  <si>
    <t>Hardware de procesamiento</t>
  </si>
  <si>
    <t>Ciclo Fetch-decode-execute</t>
  </si>
  <si>
    <t>Tareas básicas de Git</t>
  </si>
  <si>
    <t>Componentes de la Unidad de control</t>
  </si>
  <si>
    <t>Colaboración en repositorios remotos</t>
  </si>
  <si>
    <t>ALU</t>
  </si>
  <si>
    <t xml:space="preserve">Aplicar conceptos de programación mediante ejercicios prácticos y laboratorios respetando estándares básicos de calidad de software </t>
  </si>
  <si>
    <t>3. Introducción a Java</t>
  </si>
  <si>
    <t xml:space="preserve">Clasifica los distintos tipos de hardware de procesamiento, almacenamiento y comunicación mediante la identificación de tecnologías como RISC/CISC, memorias, dispositivos de red y buses para diferenciar sus funciones dentro de un sistema computacional </t>
  </si>
  <si>
    <t>Introducción a Java - Parte 1</t>
  </si>
  <si>
    <t>¿Qué es Java?</t>
  </si>
  <si>
    <t>Tecnologías RISC/CISC</t>
  </si>
  <si>
    <t>Introducción a Java - Parte 2</t>
  </si>
  <si>
    <t>Versiones y ambientes de java (JDK, JRE, JVM)</t>
  </si>
  <si>
    <t>Memoria Principal y Secundaria</t>
  </si>
  <si>
    <t>Introducción a Java - Parte 3</t>
  </si>
  <si>
    <t>Características de Java</t>
  </si>
  <si>
    <t>Tarjetas de red, routers, switches, AP's, etc</t>
  </si>
  <si>
    <t xml:space="preserve">Documentar programas desarrollados usando convenciones de codificación y comentarios estructurados para facilitar su comprensión y mantenimiento </t>
  </si>
  <si>
    <t>Introducción a Java - Parte 4</t>
  </si>
  <si>
    <t>Código del Curso</t>
  </si>
  <si>
    <t>Comentarios de una línea y multilínea</t>
  </si>
  <si>
    <t xml:space="preserve">Implementar programas simples utilizando lenguaje de programación estructurado (JAVA) conforme a especificaciones dadas </t>
  </si>
  <si>
    <t>HW de seguridad (firewall, etc)</t>
  </si>
  <si>
    <t>Introducción a Java - Parte 5</t>
  </si>
  <si>
    <t>Variables</t>
  </si>
  <si>
    <t>Buses de Datos, Control y Dirección</t>
  </si>
  <si>
    <t xml:space="preserve">Diseña algoritmos básicos con estructuras secuenciales, condicionales y cíclicas aplicando principios del pensamiento algorítmico para resolver problemas simples de procesamiento de datos </t>
  </si>
  <si>
    <t>Introducción a Java - Parte 6</t>
  </si>
  <si>
    <t>Tipos primitivos y no primitivos</t>
  </si>
  <si>
    <t>Estructuras de Control</t>
  </si>
  <si>
    <t>Introducción a Java - Parte 7</t>
  </si>
  <si>
    <t>Casteos implícitos y explícitos</t>
  </si>
  <si>
    <t>Operadores aritméticos, relacionales y lógicos</t>
  </si>
  <si>
    <t>Condicionales simples y dobles</t>
  </si>
  <si>
    <t>Input y output</t>
  </si>
  <si>
    <t>Semestre</t>
  </si>
  <si>
    <t>Estructuras de control (if, else if, else y switch)</t>
  </si>
  <si>
    <t>Ciclos (for, while, do-while)</t>
  </si>
  <si>
    <t>Condicionales anidadas</t>
  </si>
  <si>
    <t>Try-catch-finally</t>
  </si>
  <si>
    <t>Ciclos</t>
  </si>
  <si>
    <t>Procedimientos y funciones</t>
  </si>
  <si>
    <t xml:space="preserve">Interpretar código fuente apoyándose en diagramas de flujo y pseudocódigo para detectar errores lógicos y de sintaxis </t>
  </si>
  <si>
    <t>Introducción a Java - Parte 8</t>
  </si>
  <si>
    <t>Debugging (Breakpoint [Inline, function], start, pause, continue, stop)</t>
  </si>
  <si>
    <t>4. Manejo de Memoria</t>
  </si>
  <si>
    <t>Manejo de memoria</t>
  </si>
  <si>
    <t>Arreglos y Matrices</t>
  </si>
  <si>
    <t>Área de Conocimiento</t>
  </si>
  <si>
    <t>while y for</t>
  </si>
  <si>
    <t>Listas Dinámicas</t>
  </si>
  <si>
    <t>Software</t>
  </si>
  <si>
    <t>Aplicaciones</t>
  </si>
  <si>
    <t>Uso de acumuladores y contadores</t>
  </si>
  <si>
    <t>Métodos de Ordenamiento</t>
  </si>
  <si>
    <t>Algoritmos con decisiones y bucles combinados</t>
  </si>
  <si>
    <t xml:space="preserve">Analizar problemas computacionales empleando estrategias de resolución de problemas para optimizar soluciones algorítmicas </t>
  </si>
  <si>
    <t>5. Recursividad y Archivos</t>
  </si>
  <si>
    <t>Recursividad y Archivos de texto plano</t>
  </si>
  <si>
    <t>Pila de ejecución (Call Stack)</t>
  </si>
  <si>
    <t xml:space="preserve">Identifica los sistemas de codificación y representación de la información (decimal, binario, octal, hexadecimal, ASCII, UNICODE, etc.) mediante ejercicios de conversión y análisis de datos para comprender la forma en que se representan los datos en una computadora </t>
  </si>
  <si>
    <t>Codificación de la información</t>
  </si>
  <si>
    <t>Sistema Decimal, Binario, Octal, Hexadecimal</t>
  </si>
  <si>
    <t>Recursividad</t>
  </si>
  <si>
    <t>Manejo de archivos de texto plano</t>
  </si>
  <si>
    <t>Codificación ASCII, EBCDIC, UNICODE, ISO-8859</t>
  </si>
  <si>
    <t>6. Introducción a POO</t>
  </si>
  <si>
    <t>Conceptos y Pilares de POO</t>
  </si>
  <si>
    <t>Concepto de abstracción y clasificación</t>
  </si>
  <si>
    <t>Representación de los datos</t>
  </si>
  <si>
    <t>Tipos de datos primitivos</t>
  </si>
  <si>
    <t>Clases y objetos</t>
  </si>
  <si>
    <t>Cantidad de Creditos</t>
  </si>
  <si>
    <t>Mensajes y métodos</t>
  </si>
  <si>
    <t>Imágenes, audio, video</t>
  </si>
  <si>
    <t xml:space="preserve">Analiza problemas computacionales sencillos mediante técnicas de descomposición, abstracción y reconocimiento de patrones para formular su estructura y determinar posibles soluciones algorítmicas </t>
  </si>
  <si>
    <t>Pilares de POO: Abstracción, Encapsulamiento, Polimorfismo, Herencia</t>
  </si>
  <si>
    <t>Los miembros de una clase</t>
  </si>
  <si>
    <t>Fundamentos de Algoritmos</t>
  </si>
  <si>
    <t>Descomposición</t>
  </si>
  <si>
    <t>Atributos y métodos (operaciones)</t>
  </si>
  <si>
    <t>Constructores y Destructores</t>
  </si>
  <si>
    <t>Reconocimiento de patrones</t>
  </si>
  <si>
    <t>Horas de aprendizaje</t>
  </si>
  <si>
    <t>Modificadores de visibilidad: Privado, Público, Protegido</t>
  </si>
  <si>
    <t>7. Introducción a Interfaces Graficas</t>
  </si>
  <si>
    <t>Introducción a Swing y Awt</t>
  </si>
  <si>
    <t xml:space="preserve">Elementos basicos de swing </t>
  </si>
  <si>
    <t>Abstracción</t>
  </si>
  <si>
    <t>8. Patrones de diseño</t>
  </si>
  <si>
    <t>Patron de diseño: MVC</t>
  </si>
  <si>
    <t>Definición y sus componentes</t>
  </si>
  <si>
    <t>Definición de un problema (instancias y soluciones)</t>
  </si>
  <si>
    <t>Modelo</t>
  </si>
  <si>
    <t>Vista</t>
  </si>
  <si>
    <t>Catacterísticas de un problema</t>
  </si>
  <si>
    <t>Controlador</t>
  </si>
  <si>
    <t>7. POO Avanzado</t>
  </si>
  <si>
    <t>Conceptos Avanzados de POO</t>
  </si>
  <si>
    <t>Construcciones abstractas: Clase abstracta y Interface</t>
  </si>
  <si>
    <t>Arreglos</t>
  </si>
  <si>
    <t>Arreglos unidimensionales</t>
  </si>
  <si>
    <t>Miembros estáticos (static) vs. miembros de instancia</t>
  </si>
  <si>
    <t>Descripción del Contexto</t>
  </si>
  <si>
    <t>Referencia "this"</t>
  </si>
  <si>
    <t>Serialización de objetos en archivos</t>
  </si>
  <si>
    <t>9. Hilos</t>
  </si>
  <si>
    <t>Manejo de Hilos en Java</t>
  </si>
  <si>
    <t>Definición de Hilos</t>
  </si>
  <si>
    <t>Algoritmos básicos</t>
  </si>
  <si>
    <t>Ciclo de vida de un hilo</t>
  </si>
  <si>
    <t>Creación de hilos</t>
  </si>
  <si>
    <t xml:space="preserve">Que cursos prerrequisito tiene
</t>
  </si>
  <si>
    <t>Multihilos</t>
  </si>
  <si>
    <t>10. Fundamentos de GUI</t>
  </si>
  <si>
    <t>Fundamentos de GUI, AWT y SWING</t>
  </si>
  <si>
    <t>Cursos que lleva en el mismo semestre</t>
  </si>
  <si>
    <t>Concepto de GUI (Interfaz gráfica de usuario).</t>
  </si>
  <si>
    <t>¿Que es AWT?</t>
  </si>
  <si>
    <t>Qué cursos posteriores dependen de este</t>
  </si>
  <si>
    <t>Componentes basicos de AWT</t>
  </si>
  <si>
    <t>Métodos Algorítmicos</t>
  </si>
  <si>
    <t>Gestores de diseño (Layout Managers) en AWT</t>
  </si>
  <si>
    <t>Definición de algoritmo</t>
  </si>
  <si>
    <t>Manejo de eventos en AWT</t>
  </si>
  <si>
    <t>¿Que es SWING?</t>
  </si>
  <si>
    <t>No.</t>
  </si>
  <si>
    <t>Uso de algoritmos</t>
  </si>
  <si>
    <t>Componentes basicos de SWING</t>
  </si>
  <si>
    <t>11. Swing Avanzado y UML</t>
  </si>
  <si>
    <t>Codigo</t>
  </si>
  <si>
    <t>SWING avanzado, UML y diagramas de clases</t>
  </si>
  <si>
    <t>Gestores de diseño (Layout Managers) en SWING</t>
  </si>
  <si>
    <t>Nombre</t>
  </si>
  <si>
    <t>Características de los algoritmos (secuencial, finito, denifido)</t>
  </si>
  <si>
    <t>Manejo de eventos en SWING</t>
  </si>
  <si>
    <t>Diferencias entre AWT y SWING</t>
  </si>
  <si>
    <t>Niveles de algoritmo</t>
  </si>
  <si>
    <t>Drag and Drop</t>
  </si>
  <si>
    <t>Pensamiento Algorítmico para la Resolución de Problemas Complejos</t>
  </si>
  <si>
    <t>¿Que es UML?</t>
  </si>
  <si>
    <t>Diagrama de clases</t>
  </si>
  <si>
    <t>Elementos de un Algoritmo</t>
  </si>
  <si>
    <t>Notaciones del diagrama de clases (clases, visibilidad, relaciones)</t>
  </si>
  <si>
    <t>Instrucciones o sentencias</t>
  </si>
  <si>
    <t>12. Cloud computing</t>
  </si>
  <si>
    <t>Cloud Computing</t>
  </si>
  <si>
    <t>Ventajas y Desventajas</t>
  </si>
  <si>
    <t>Palabras reservadas</t>
  </si>
  <si>
    <t>Tipos de Nube</t>
  </si>
  <si>
    <t>Publica, privada, hibrida</t>
  </si>
  <si>
    <t>Tipos de Datos</t>
  </si>
  <si>
    <t>Modelos en la Nube</t>
  </si>
  <si>
    <t>Estructuras Condicionales</t>
  </si>
  <si>
    <t>SaaS, PaaS, IaaS</t>
  </si>
  <si>
    <t>Elementos de un algoritmo</t>
  </si>
  <si>
    <t>Estructuras ciclicas</t>
  </si>
  <si>
    <t>Estructuras secuenciales</t>
  </si>
  <si>
    <t>Servicios en la nube</t>
  </si>
  <si>
    <t>Manipulación de cadenas de caracteres</t>
  </si>
  <si>
    <t>Proveedores de Nube</t>
  </si>
  <si>
    <t>Ventajas y desventajas</t>
  </si>
  <si>
    <t xml:space="preserve">Representa algoritmos y flujos de datos mediante pseudocódigo y diagramas de flujo para documentar, comunicar y validar la lógica de solución propuesta </t>
  </si>
  <si>
    <t>SW de pseudocódigo</t>
  </si>
  <si>
    <t>Arreglos multidimensionales</t>
  </si>
  <si>
    <t>Administración y representación de Algoritmos</t>
  </si>
  <si>
    <t>Administración y representación de algoritmos</t>
  </si>
  <si>
    <t>Herramientas de representación de algoritmos</t>
  </si>
  <si>
    <t>Diagramas de flujo</t>
  </si>
  <si>
    <t>Características</t>
  </si>
  <si>
    <t>Estructura y componentes</t>
  </si>
  <si>
    <t>Competencias Actuales</t>
  </si>
  <si>
    <t>Tipo</t>
  </si>
  <si>
    <t>Nivel de la Taxonomina</t>
  </si>
  <si>
    <t>General</t>
  </si>
  <si>
    <t xml:space="preserve">Aplica fundamentos computacionales y algoritmos mediante técnicas de analisis diseño e implementacion  para desarrollar soluciones eficientes a un problema en un entorno real  </t>
  </si>
  <si>
    <t>Aplicar</t>
  </si>
  <si>
    <t>Especifica</t>
  </si>
  <si>
    <t xml:space="preserve">Analiza la arquitectura y organizacion de una computadora mediante el estudio de sus componentes de hardware para comprender el funcionamiento integral de un sistema </t>
  </si>
  <si>
    <t>Analizar</t>
  </si>
  <si>
    <t xml:space="preserve">evalúa  la formulación y estructuración de problemas computacionales mediante técnicas de descomposición, abstracción y reconocimiento de patrones, considerando sus características, contexto y tipo, con el propósito de optimizar su representación y resolución en entornos algorítmicos. </t>
  </si>
  <si>
    <t>Evaluar</t>
  </si>
  <si>
    <t xml:space="preserve">diseña  algoritmos utilizando instrucciones, estructuras condicionales, tipos de datos y palabras reservadas, aplicando principios del pensamiento algorítmico para la resolución eficiente de problemas complejos, con base en los niveles y características fundamentales de los algoritmos. </t>
  </si>
  <si>
    <t>Crear</t>
  </si>
  <si>
    <t xml:space="preserve">Implementa   soluciones algorítmicas mediante el uso de estructuras secuenciales, cíclicas y herramientas de representación (pseudocódigo y diagramas de flujo), aplicando técnicas de manipulación de cadenas y arreglos unidimensionales y multidimensionales, para resolver problemas que requieren procesamiento estructurado de datos. </t>
  </si>
  <si>
    <t xml:space="preserve">Desarrolla  sistemas de codificación de información mediante la conversión entre sistemas numéricos (decimal, binario, octal, hexadecimal) y la aplicación de estándares de codificación (ASCII, EBCDIC, UNICODE, ISO-8859),  considerando tipos de datos primitivos y formatos multimedia (imágenes, audio, video),  para garantizar la representación eficiente y precisa de la información en sistemas computacionales.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</si>
</sst>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b/>
      <sz val="12.0"/>
      <color rgb="FF404040"/>
      <name val="Roboto"/>
    </font>
    <font/>
    <font>
      <b/>
      <sz val="12.0"/>
      <color rgb="FFFF6D01"/>
      <name val="Arial"/>
    </font>
    <font>
      <color rgb="FFFFFFFF"/>
      <name val="Arial"/>
    </font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shrinkToFit="0" vertical="bottom" wrapText="1"/>
    </xf>
    <xf borderId="0" fillId="3" fontId="1" numFmtId="0" xfId="0" applyAlignment="1" applyFill="1" applyFont="1">
      <alignment vertical="bottom"/>
    </xf>
    <xf borderId="1" fillId="0" fontId="2" numFmtId="0" xfId="0" applyAlignment="1" applyBorder="1" applyFont="1">
      <alignment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Border="1" applyFont="1"/>
    <xf borderId="4" fillId="2" fontId="1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5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  <xf borderId="1" fillId="4" fontId="2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4" fontId="7" numFmtId="0" xfId="0" applyAlignment="1" applyBorder="1" applyFill="1" applyFont="1">
      <alignment vertical="bottom"/>
    </xf>
    <xf borderId="0" fillId="6" fontId="8" numFmtId="0" xfId="0" applyAlignment="1" applyFill="1" applyFont="1">
      <alignment horizontal="center" vertical="bottom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shrinkToFit="0" vertical="bottom" wrapText="1"/>
    </xf>
    <xf borderId="0" fillId="9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3" fontId="11" numFmtId="0" xfId="0" applyAlignment="1" applyBorder="1" applyFill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4" fillId="3" fontId="1" numFmtId="0" xfId="0" applyAlignment="1" applyBorder="1" applyFill="1" applyFont="1">
      <alignment horizontal="right" shrinkToFit="0" vertical="bottom" wrapText="1"/>
    </xf>
    <xf borderId="4" fillId="3" fontId="1" numFmtId="0" xfId="0" applyAlignment="1" applyBorder="1" applyFill="1" applyFont="1">
      <alignment vertical="bottom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shrinkToFit="0" wrapText="1"/>
    </xf>
    <xf borderId="4" fillId="0" fontId="1" numFmtId="0" xfId="0" applyBorder="1" applyFont="1"/>
    <xf borderId="4" fillId="0" fontId="1" numFmtId="0" xfId="0" applyAlignment="1" applyBorder="1" applyFont="1">
      <alignment vertical="bottom"/>
    </xf>
    <xf borderId="4" fillId="3" fontId="1" numFmtId="0" xfId="0" applyAlignment="1" applyBorder="1" applyFill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4" fillId="10" fontId="9" numFmtId="0" xfId="0" applyAlignment="1" applyBorder="1" applyFill="1" applyFont="1">
      <alignment horizontal="center" shrinkToFit="0" vertical="bottom" wrapText="1"/>
    </xf>
    <xf borderId="4" fillId="10" fontId="9" numFmtId="0" xfId="0" applyAlignment="1" applyBorder="1" applyFill="1" applyFont="1">
      <alignment horizontal="center" vertical="bottom"/>
    </xf>
    <xf borderId="1" fillId="10" fontId="9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26.5"/>
    <col customWidth="1" min="12" max="12" width="37.38"/>
  </cols>
  <sheetData>
    <row r="1" ht="15.75" customHeight="1">
      <c r="A1" s="3"/>
      <c r="B1" s="7" t="s">
        <v>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3" t="str">
        <f>VALUE(LEFT(F4,FIND(" - ",F4)-1))</f>
        <v>#VALUE!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9"/>
      <c r="B3" s="3"/>
      <c r="C3" s="3"/>
      <c r="D3" s="15" t="s">
        <v>0</v>
      </c>
      <c r="E3" s="6"/>
      <c r="F3" s="16" t="s">
        <v>1</v>
      </c>
      <c r="G3" s="5"/>
      <c r="H3" s="5"/>
      <c r="I3" s="5"/>
      <c r="J3" s="6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9"/>
      <c r="B4" s="3"/>
      <c r="C4" s="3"/>
      <c r="D4" s="15" t="s">
        <v>49</v>
      </c>
      <c r="E4" s="6"/>
      <c r="F4" s="17">
        <v>768.0</v>
      </c>
      <c r="G4" s="5"/>
      <c r="H4" s="5"/>
      <c r="I4" s="5"/>
      <c r="J4" s="6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9"/>
      <c r="B5" s="3"/>
      <c r="C5" s="3"/>
      <c r="D5" s="15" t="s">
        <v>65</v>
      </c>
      <c r="E5" s="6"/>
      <c r="F5" s="18">
        <v>2.0</v>
      </c>
      <c r="G5" s="5"/>
      <c r="H5" s="5"/>
      <c r="I5" s="5"/>
      <c r="J5" s="6"/>
      <c r="K5" s="9"/>
      <c r="L5" s="3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9"/>
      <c r="B6" s="3"/>
      <c r="C6" s="3"/>
      <c r="D6" s="15" t="s">
        <v>78</v>
      </c>
      <c r="E6" s="6"/>
      <c r="F6" s="18" t="s">
        <v>81</v>
      </c>
      <c r="G6" s="5"/>
      <c r="H6" s="5"/>
      <c r="I6" s="5"/>
      <c r="J6" s="6"/>
      <c r="K6" s="9"/>
      <c r="L6" s="3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9"/>
      <c r="B7" s="9"/>
      <c r="C7" s="9"/>
      <c r="D7" s="19" t="s">
        <v>102</v>
      </c>
      <c r="E7" s="6"/>
      <c r="F7" s="18">
        <v>4.0</v>
      </c>
      <c r="G7" s="5"/>
      <c r="H7" s="5"/>
      <c r="I7" s="5"/>
      <c r="J7" s="6"/>
      <c r="K7" s="9"/>
      <c r="L7" s="3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9"/>
      <c r="B8" s="9"/>
      <c r="C8" s="9"/>
      <c r="D8" s="19" t="s">
        <v>113</v>
      </c>
      <c r="E8" s="6"/>
      <c r="F8" s="18">
        <v>4.0</v>
      </c>
      <c r="G8" s="5"/>
      <c r="H8" s="5"/>
      <c r="I8" s="5"/>
      <c r="J8" s="6"/>
      <c r="K8" s="9"/>
      <c r="L8" s="3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3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/>
      <c r="B11" s="20" t="s">
        <v>133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/>
      <c r="B13" s="21" t="s">
        <v>142</v>
      </c>
      <c r="E13" s="9"/>
      <c r="F13" s="22" t="s">
        <v>146</v>
      </c>
      <c r="I13" s="9"/>
      <c r="J13" s="23" t="s">
        <v>149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/>
      <c r="B14" s="24" t="s">
        <v>156</v>
      </c>
      <c r="C14" s="24" t="s">
        <v>160</v>
      </c>
      <c r="D14" s="24" t="s">
        <v>163</v>
      </c>
      <c r="E14" s="9"/>
      <c r="F14" s="25" t="s">
        <v>156</v>
      </c>
      <c r="G14" s="24" t="s">
        <v>160</v>
      </c>
      <c r="H14" s="24" t="s">
        <v>163</v>
      </c>
      <c r="I14" s="9"/>
      <c r="J14" s="26" t="s">
        <v>156</v>
      </c>
      <c r="K14" s="27" t="s">
        <v>160</v>
      </c>
      <c r="L14" s="27" t="s">
        <v>163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9"/>
      <c r="B15" s="28">
        <v>1.0</v>
      </c>
      <c r="C15" s="29"/>
      <c r="D15" s="28" t="str">
        <f>IFERROR(__xludf.DUMMYFUNCTION("IF(C15="""","""",VLOOKUP(C15,IMPORTRANGE(""1j2lHEvOoZ_EPY086Qt7f7AFaZGVfiYKJxXlsnNfWCA0"", ""Listado Cursos!A:B""),2,FALSE))"),"")</f>
        <v/>
      </c>
      <c r="E15" s="9"/>
      <c r="F15" s="28">
        <v>1.0</v>
      </c>
      <c r="G15" s="30">
        <v>19.0</v>
      </c>
      <c r="H15" s="31" t="str">
        <f>IFERROR(__xludf.DUMMYFUNCTION("IF(G15="""","""",VLOOKUP(G15,IMPORTRANGE(""1j2lHEvOoZ_EPY086Qt7f7AFaZGVfiYKJxXlsnNfWCA0"", ""Listado Cursos!A:B""),2,FALSE))"),"Área Social Humanística 2")</f>
        <v>Área Social Humanística 2</v>
      </c>
      <c r="I15" s="9"/>
      <c r="J15" s="32">
        <v>1.0</v>
      </c>
      <c r="K15" s="33">
        <v>770.0</v>
      </c>
      <c r="L15" s="34" t="str">
        <f>IFERROR(__xludf.DUMMYFUNCTION("IF(K15="""","""",VLOOKUP(K15,IMPORTRANGE(""1j2lHEvOoZ_EPY086Qt7f7AFaZGVfiYKJxXlsnNfWCA0"", ""Listado Cursos!A:B""),2,FALSE))"),"Introducción a ala programación y computación 1")</f>
        <v>Introducción a ala programación y computación 1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9"/>
      <c r="B16" s="28">
        <v>2.0</v>
      </c>
      <c r="C16" s="35"/>
      <c r="D16" s="35" t="str">
        <f>IFERROR(__xludf.DUMMYFUNCTION("IF(C16="""","""",VLOOKUP(C16,IMPORTRANGE(""1j2lHEvOoZ_EPY086Qt7f7AFaZGVfiYKJxXlsnNfWCA0"", ""Listado Cursos!A:B""),2,FALSE))"),"")</f>
        <v/>
      </c>
      <c r="E16" s="9"/>
      <c r="F16" s="28">
        <v>2.0</v>
      </c>
      <c r="G16" s="36">
        <v>103.0</v>
      </c>
      <c r="H16" s="31" t="str">
        <f>IFERROR(__xludf.DUMMYFUNCTION("IF(G16="""","""",VLOOKUP(G16,IMPORTRANGE(""1j2lHEvOoZ_EPY086Qt7f7AFaZGVfiYKJxXlsnNfWCA0"", ""Listado Cursos!A:B""),2,FALSE))"),"Área Matemática Básica 2")</f>
        <v>Área Matemática Básica 2</v>
      </c>
      <c r="I16" s="9"/>
      <c r="J16" s="32">
        <v>2.0</v>
      </c>
      <c r="K16" s="34"/>
      <c r="L16" s="34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9"/>
      <c r="B17" s="28">
        <v>3.0</v>
      </c>
      <c r="C17" s="35"/>
      <c r="D17" s="35" t="str">
        <f>IFERROR(__xludf.DUMMYFUNCTION("IF(C17="""","""",VLOOKUP(C17,IMPORTRANGE(""1j2lHEvOoZ_EPY086Qt7f7AFaZGVfiYKJxXlsnNfWCA0"", ""Listado Cursos!A:B""),2,FALSE))"),"")</f>
        <v/>
      </c>
      <c r="E17" s="9"/>
      <c r="F17" s="28">
        <v>3.0</v>
      </c>
      <c r="G17" s="36">
        <v>960.0</v>
      </c>
      <c r="H17" s="31" t="str">
        <f>IFERROR(__xludf.DUMMYFUNCTION("IF(G17="""","""",VLOOKUP(G17,IMPORTRANGE(""1j2lHEvOoZ_EPY086Qt7f7AFaZGVfiYKJxXlsnNfWCA0"", ""Listado Cursos!A:B""),2,FALSE))"),"Matemática Para Computación 1")</f>
        <v>Matemática Para Computación 1</v>
      </c>
      <c r="I17" s="9"/>
      <c r="J17" s="32">
        <v>3.0</v>
      </c>
      <c r="K17" s="34"/>
      <c r="L17" s="34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9"/>
      <c r="B18" s="28">
        <v>4.0</v>
      </c>
      <c r="C18" s="35"/>
      <c r="D18" s="35" t="str">
        <f>IFERROR(__xludf.DUMMYFUNCTION("IF(C18="""","""",VLOOKUP(C18,IMPORTRANGE(""1j2lHEvOoZ_EPY086Qt7f7AFaZGVfiYKJxXlsnNfWCA0"", ""Listado Cursos!A:B""),2,FALSE))"),"")</f>
        <v/>
      </c>
      <c r="E18" s="9"/>
      <c r="F18" s="28">
        <v>4.0</v>
      </c>
      <c r="G18" s="36">
        <v>147.0</v>
      </c>
      <c r="H18" s="31" t="str">
        <f>IFERROR(__xludf.DUMMYFUNCTION("IF(G18="""","""",VLOOKUP(G18,IMPORTRANGE(""1j2lHEvOoZ_EPY086Qt7f7AFaZGVfiYKJxXlsnNfWCA0"", ""Listado Cursos!A:B""),2,FALSE))"),"Física Básica")</f>
        <v>Física Básica</v>
      </c>
      <c r="I18" s="9"/>
      <c r="J18" s="32">
        <v>4.0</v>
      </c>
      <c r="K18" s="34"/>
      <c r="L18" s="34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/>
      <c r="B19" s="28">
        <v>5.0</v>
      </c>
      <c r="C19" s="35"/>
      <c r="D19" s="35" t="str">
        <f>IFERROR(__xludf.DUMMYFUNCTION("IF(C19="""","""",VLOOKUP(C19,IMPORTRANGE(""1j2lHEvOoZ_EPY086Qt7f7AFaZGVfiYKJxXlsnNfWCA0"", ""Listado Cursos!A:B""),2,FALSE))"),"")</f>
        <v/>
      </c>
      <c r="E19" s="9"/>
      <c r="F19" s="28">
        <v>5.0</v>
      </c>
      <c r="G19" s="36">
        <v>40.0</v>
      </c>
      <c r="H19" s="31" t="str">
        <f>IFERROR(__xludf.DUMMYFUNCTION("IF(G19="""","""",VLOOKUP(G19,IMPORTRANGE(""1j2lHEvOoZ_EPY086Qt7f7AFaZGVfiYKJxXlsnNfWCA0"", ""Listado Cursos!A:B""),2,FALSE))"),"Deportes 2")</f>
        <v>Deportes 2</v>
      </c>
      <c r="I19" s="9"/>
      <c r="J19" s="32">
        <v>5.0</v>
      </c>
      <c r="K19" s="34"/>
      <c r="L19" s="3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28">
        <v>6.0</v>
      </c>
      <c r="C20" s="35"/>
      <c r="D20" s="35" t="str">
        <f>IFERROR(__xludf.DUMMYFUNCTION("IF(C20="""","""",VLOOKUP(C20,IMPORTRANGE(""1j2lHEvOoZ_EPY086Qt7f7AFaZGVfiYKJxXlsnNfWCA0"", ""Listado Cursos!A:B""),2,FALSE))"),"")</f>
        <v/>
      </c>
      <c r="E20" s="9"/>
      <c r="F20" s="28">
        <v>6.0</v>
      </c>
      <c r="G20" s="36">
        <v>8.0</v>
      </c>
      <c r="H20" s="31" t="str">
        <f>IFERROR(__xludf.DUMMYFUNCTION("IF(G20="""","""",VLOOKUP(G20,IMPORTRANGE(""1j2lHEvOoZ_EPY086Qt7f7AFaZGVfiYKJxXlsnNfWCA0"", ""Listado Cursos!A:B""),2,FALSE))"),"Idioma Técnico 2")</f>
        <v>Idioma Técnico 2</v>
      </c>
      <c r="I20" s="9"/>
      <c r="J20" s="32">
        <v>6.0</v>
      </c>
      <c r="K20" s="34"/>
      <c r="L20" s="34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28">
        <v>7.0</v>
      </c>
      <c r="C21" s="35"/>
      <c r="D21" s="35" t="str">
        <f>IFERROR(__xludf.DUMMYFUNCTION("IF(C21="""","""",VLOOKUP(C21,IMPORTRANGE(""1j2lHEvOoZ_EPY086Qt7f7AFaZGVfiYKJxXlsnNfWCA0"", ""Listado Cursos!A:B""),2,FALSE))"),"")</f>
        <v/>
      </c>
      <c r="E21" s="9"/>
      <c r="F21" s="28">
        <v>7.0</v>
      </c>
      <c r="G21" s="36">
        <v>90.0</v>
      </c>
      <c r="H21" s="31" t="str">
        <f>IFERROR(__xludf.DUMMYFUNCTION("IF(G21="""","""",VLOOKUP(G21,IMPORTRANGE(""1j2lHEvOoZ_EPY086Qt7f7AFaZGVfiYKJxXlsnNfWCA0"", ""Listado Cursos!A:B""),2,FALSE))"),"Programacion de Computadoras 1")</f>
        <v>Programacion de Computadoras 1</v>
      </c>
      <c r="I21" s="9"/>
      <c r="J21" s="32">
        <v>7.0</v>
      </c>
      <c r="K21" s="34"/>
      <c r="L21" s="3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28">
        <v>8.0</v>
      </c>
      <c r="C22" s="35"/>
      <c r="D22" s="35" t="str">
        <f>IFERROR(__xludf.DUMMYFUNCTION("IF(C22="""","""",VLOOKUP(C22,IMPORTRANGE(""1j2lHEvOoZ_EPY086Qt7f7AFaZGVfiYKJxXlsnNfWCA0"", ""Listado Cursos!A:B""),2,FALSE))"),"")</f>
        <v/>
      </c>
      <c r="E22" s="9"/>
      <c r="F22" s="28">
        <v>8.0</v>
      </c>
      <c r="G22" s="36">
        <v>667.0</v>
      </c>
      <c r="H22" s="31" t="str">
        <f>IFERROR(__xludf.DUMMYFUNCTION("IF(G22="""","""",VLOOKUP(G22,IMPORTRANGE(""1j2lHEvOoZ_EPY086Qt7f7AFaZGVfiYKJxXlsnNfWCA0"", ""Listado Cursos!A:B""),2,FALSE))"),"Programacion Comercial 1")</f>
        <v>Programacion Comercial 1</v>
      </c>
      <c r="I22" s="9"/>
      <c r="J22" s="32">
        <v>8.0</v>
      </c>
      <c r="K22" s="34"/>
      <c r="L22" s="34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28">
        <v>9.0</v>
      </c>
      <c r="C23" s="35"/>
      <c r="D23" s="35" t="str">
        <f>IFERROR(__xludf.DUMMYFUNCTION("IF(C23="""","""",VLOOKUP(C23,IMPORTRANGE(""1j2lHEvOoZ_EPY086Qt7f7AFaZGVfiYKJxXlsnNfWCA0"", ""Listado Cursos!A:B""),2,FALSE))"),"")</f>
        <v/>
      </c>
      <c r="E23" s="9"/>
      <c r="F23" s="28">
        <v>9.0</v>
      </c>
      <c r="G23" s="37">
        <v>768.0</v>
      </c>
      <c r="H23" s="31" t="str">
        <f>IFERROR(__xludf.DUMMYFUNCTION("IF(G23="""","""",VLOOKUP(G23,IMPORTRANGE(""1j2lHEvOoZ_EPY086Qt7f7AFaZGVfiYKJxXlsnNfWCA0"", ""Listado Cursos!A:B""),2,FALSE))"),"Algoritmos")</f>
        <v>Algoritmos</v>
      </c>
      <c r="I23" s="9"/>
      <c r="J23" s="32">
        <v>9.0</v>
      </c>
      <c r="K23" s="34"/>
      <c r="L23" s="34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28">
        <v>10.0</v>
      </c>
      <c r="C24" s="35"/>
      <c r="D24" s="35" t="str">
        <f>IFERROR(__xludf.DUMMYFUNCTION("IF(C24="""","""",VLOOKUP(C24,IMPORTRANGE(""1j2lHEvOoZ_EPY086Qt7f7AFaZGVfiYKJxXlsnNfWCA0"", ""Listado Cursos!A:B""),2,FALSE))"),"")</f>
        <v/>
      </c>
      <c r="E24" s="9"/>
      <c r="F24" s="28">
        <v>10.0</v>
      </c>
      <c r="G24" s="35"/>
      <c r="H24" s="35"/>
      <c r="I24" s="9"/>
      <c r="J24" s="32">
        <v>10.0</v>
      </c>
      <c r="K24" s="34"/>
      <c r="L24" s="34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28">
        <v>11.0</v>
      </c>
      <c r="C25" s="35"/>
      <c r="D25" s="35" t="str">
        <f>IFERROR(__xludf.DUMMYFUNCTION("IF(C25="""","""",VLOOKUP(C25,IMPORTRANGE(""1j2lHEvOoZ_EPY086Qt7f7AFaZGVfiYKJxXlsnNfWCA0"", ""Listado Cursos!A:B""),2,FALSE))"),"")</f>
        <v/>
      </c>
      <c r="E25" s="9"/>
      <c r="F25" s="28">
        <v>11.0</v>
      </c>
      <c r="G25" s="35"/>
      <c r="H25" s="35"/>
      <c r="I25" s="9"/>
      <c r="J25" s="32">
        <v>11.0</v>
      </c>
      <c r="K25" s="34"/>
      <c r="L25" s="34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28">
        <v>12.0</v>
      </c>
      <c r="C26" s="31"/>
      <c r="D26" s="35" t="str">
        <f>IFERROR(__xludf.DUMMYFUNCTION("IF(C26="""","""",VLOOKUP(C26,IMPORTRANGE(""1j2lHEvOoZ_EPY086Qt7f7AFaZGVfiYKJxXlsnNfWCA0"", ""Listado Cursos!A:B""),2,FALSE))"),"")</f>
        <v/>
      </c>
      <c r="E26" s="9"/>
      <c r="F26" s="28">
        <v>12.0</v>
      </c>
      <c r="G26" s="35"/>
      <c r="H26" s="35"/>
      <c r="I26" s="9"/>
      <c r="J26" s="32">
        <v>12.0</v>
      </c>
      <c r="K26" s="34"/>
      <c r="L26" s="34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28">
        <v>13.0</v>
      </c>
      <c r="C27" s="31"/>
      <c r="D27" s="35" t="str">
        <f>IFERROR(__xludf.DUMMYFUNCTION("IF(C27="""","""",VLOOKUP(C27,IMPORTRANGE(""1j2lHEvOoZ_EPY086Qt7f7AFaZGVfiYKJxXlsnNfWCA0"", ""Listado Cursos!A:B""),2,FALSE))"),"")</f>
        <v/>
      </c>
      <c r="E27" s="9"/>
      <c r="F27" s="28">
        <v>13.0</v>
      </c>
      <c r="G27" s="35"/>
      <c r="H27" s="35"/>
      <c r="I27" s="9"/>
      <c r="J27" s="32">
        <v>13.0</v>
      </c>
      <c r="K27" s="34"/>
      <c r="L27" s="34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28">
        <v>14.0</v>
      </c>
      <c r="C28" s="31"/>
      <c r="D28" s="35" t="str">
        <f>IFERROR(__xludf.DUMMYFUNCTION("IF(C28="""","""",VLOOKUP(C28,IMPORTRANGE(""1j2lHEvOoZ_EPY086Qt7f7AFaZGVfiYKJxXlsnNfWCA0"", ""Listado Cursos!A:B""),2,FALSE))"),"")</f>
        <v/>
      </c>
      <c r="E28" s="9"/>
      <c r="F28" s="28">
        <v>14.0</v>
      </c>
      <c r="G28" s="35"/>
      <c r="H28" s="35"/>
      <c r="I28" s="9"/>
      <c r="J28" s="32">
        <v>14.0</v>
      </c>
      <c r="K28" s="34"/>
      <c r="L28" s="34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20" t="s">
        <v>201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38" t="s">
        <v>156</v>
      </c>
      <c r="C33" s="39" t="s">
        <v>202</v>
      </c>
      <c r="D33" s="40" t="s">
        <v>7</v>
      </c>
      <c r="E33" s="5"/>
      <c r="F33" s="5"/>
      <c r="G33" s="5"/>
      <c r="H33" s="5"/>
      <c r="I33" s="5"/>
      <c r="J33" s="5"/>
      <c r="K33" s="6"/>
      <c r="L33" s="38" t="s">
        <v>203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35">
        <v>1.0</v>
      </c>
      <c r="C34" s="35" t="s">
        <v>204</v>
      </c>
      <c r="D34" s="41" t="s">
        <v>205</v>
      </c>
      <c r="E34" s="5"/>
      <c r="F34" s="5"/>
      <c r="G34" s="5"/>
      <c r="H34" s="5"/>
      <c r="I34" s="5"/>
      <c r="J34" s="5"/>
      <c r="K34" s="6"/>
      <c r="L34" s="35" t="s">
        <v>206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35">
        <v>2.0</v>
      </c>
      <c r="C35" s="35" t="s">
        <v>207</v>
      </c>
      <c r="D35" s="41" t="s">
        <v>208</v>
      </c>
      <c r="E35" s="5"/>
      <c r="F35" s="5"/>
      <c r="G35" s="5"/>
      <c r="H35" s="5"/>
      <c r="I35" s="5"/>
      <c r="J35" s="5"/>
      <c r="K35" s="6"/>
      <c r="L35" s="35" t="s">
        <v>209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35">
        <v>3.0</v>
      </c>
      <c r="C36" s="35" t="s">
        <v>207</v>
      </c>
      <c r="D36" s="41" t="s">
        <v>210</v>
      </c>
      <c r="E36" s="5"/>
      <c r="F36" s="5"/>
      <c r="G36" s="5"/>
      <c r="H36" s="5"/>
      <c r="I36" s="5"/>
      <c r="J36" s="5"/>
      <c r="K36" s="6"/>
      <c r="L36" s="35" t="s">
        <v>211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35">
        <v>4.0</v>
      </c>
      <c r="C37" s="35" t="s">
        <v>207</v>
      </c>
      <c r="D37" s="41" t="s">
        <v>212</v>
      </c>
      <c r="E37" s="5"/>
      <c r="F37" s="5"/>
      <c r="G37" s="5"/>
      <c r="H37" s="5"/>
      <c r="I37" s="5"/>
      <c r="J37" s="5"/>
      <c r="K37" s="6"/>
      <c r="L37" s="35" t="s">
        <v>213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35">
        <v>5.0</v>
      </c>
      <c r="C38" s="35" t="s">
        <v>207</v>
      </c>
      <c r="D38" s="41" t="s">
        <v>214</v>
      </c>
      <c r="E38" s="5"/>
      <c r="F38" s="5"/>
      <c r="G38" s="5"/>
      <c r="H38" s="5"/>
      <c r="I38" s="5"/>
      <c r="J38" s="5"/>
      <c r="K38" s="6"/>
      <c r="L38" s="35" t="s">
        <v>206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35">
        <v>6.0</v>
      </c>
      <c r="C39" s="35" t="s">
        <v>207</v>
      </c>
      <c r="D39" s="41" t="s">
        <v>215</v>
      </c>
      <c r="E39" s="5"/>
      <c r="F39" s="5"/>
      <c r="G39" s="5"/>
      <c r="H39" s="5"/>
      <c r="I39" s="5"/>
      <c r="J39" s="5"/>
      <c r="K39" s="6"/>
      <c r="L39" s="35" t="s">
        <v>213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5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56.38"/>
    <col customWidth="1" min="4" max="4" width="27.88"/>
    <col customWidth="1" min="5" max="5" width="29.25"/>
    <col customWidth="1" min="6" max="6" width="28.63"/>
  </cols>
  <sheetData>
    <row r="1">
      <c r="B1" s="1"/>
    </row>
    <row r="2">
      <c r="B2" s="2" t="s">
        <v>0</v>
      </c>
      <c r="C2" s="4" t="s">
        <v>1</v>
      </c>
      <c r="D2" s="5"/>
      <c r="E2" s="5"/>
      <c r="F2" s="6"/>
      <c r="G2" s="8"/>
      <c r="H2" s="8"/>
    </row>
    <row r="3">
      <c r="B3" s="2" t="s">
        <v>4</v>
      </c>
      <c r="C3" s="10" t="s">
        <v>5</v>
      </c>
      <c r="D3" s="5"/>
      <c r="E3" s="5"/>
      <c r="F3" s="6"/>
    </row>
    <row r="4">
      <c r="B4" s="1"/>
    </row>
    <row r="5"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>
      <c r="B6" s="12">
        <v>1.0</v>
      </c>
      <c r="C6" s="14" t="s">
        <v>17</v>
      </c>
      <c r="D6" s="14" t="s">
        <v>19</v>
      </c>
      <c r="E6" s="14" t="s">
        <v>19</v>
      </c>
      <c r="F6" s="14" t="s">
        <v>22</v>
      </c>
    </row>
    <row r="7">
      <c r="B7" s="12">
        <v>2.0</v>
      </c>
      <c r="C7" s="14" t="s">
        <v>17</v>
      </c>
      <c r="D7" s="14" t="s">
        <v>19</v>
      </c>
      <c r="E7" s="14" t="s">
        <v>19</v>
      </c>
      <c r="F7" s="14" t="s">
        <v>25</v>
      </c>
    </row>
    <row r="8">
      <c r="B8" s="12">
        <v>3.0</v>
      </c>
      <c r="C8" s="14" t="s">
        <v>27</v>
      </c>
      <c r="D8" s="14" t="s">
        <v>28</v>
      </c>
      <c r="E8" s="14" t="s">
        <v>29</v>
      </c>
      <c r="F8" s="14" t="s">
        <v>30</v>
      </c>
    </row>
    <row r="9">
      <c r="B9" s="12">
        <v>4.0</v>
      </c>
      <c r="C9" s="14" t="s">
        <v>27</v>
      </c>
      <c r="D9" s="14" t="s">
        <v>28</v>
      </c>
      <c r="E9" s="14" t="s">
        <v>29</v>
      </c>
      <c r="F9" s="14" t="s">
        <v>32</v>
      </c>
    </row>
    <row r="10">
      <c r="B10" s="12">
        <v>5.0</v>
      </c>
      <c r="C10" s="14" t="s">
        <v>27</v>
      </c>
      <c r="D10" s="14" t="s">
        <v>28</v>
      </c>
      <c r="E10" s="14" t="s">
        <v>29</v>
      </c>
      <c r="F10" s="14" t="s">
        <v>34</v>
      </c>
    </row>
    <row r="11">
      <c r="B11" s="12">
        <v>6.0</v>
      </c>
      <c r="C11" s="14" t="s">
        <v>37</v>
      </c>
      <c r="D11" s="14" t="s">
        <v>28</v>
      </c>
      <c r="E11" s="14" t="s">
        <v>29</v>
      </c>
      <c r="F11" s="14" t="s">
        <v>40</v>
      </c>
    </row>
    <row r="12">
      <c r="B12" s="12">
        <v>7.0</v>
      </c>
      <c r="C12" s="14" t="s">
        <v>37</v>
      </c>
      <c r="D12" s="14" t="s">
        <v>28</v>
      </c>
      <c r="E12" s="14" t="s">
        <v>29</v>
      </c>
      <c r="F12" s="14" t="s">
        <v>43</v>
      </c>
    </row>
    <row r="13">
      <c r="B13" s="12">
        <v>8.0</v>
      </c>
      <c r="C13" s="14" t="s">
        <v>37</v>
      </c>
      <c r="D13" s="14" t="s">
        <v>28</v>
      </c>
      <c r="E13" s="14" t="s">
        <v>29</v>
      </c>
      <c r="F13" s="14" t="s">
        <v>46</v>
      </c>
    </row>
    <row r="14">
      <c r="B14" s="12">
        <v>9.0</v>
      </c>
      <c r="C14" s="14" t="s">
        <v>37</v>
      </c>
      <c r="D14" s="14" t="s">
        <v>28</v>
      </c>
      <c r="E14" s="14" t="s">
        <v>29</v>
      </c>
      <c r="F14" s="14" t="s">
        <v>52</v>
      </c>
    </row>
    <row r="15">
      <c r="B15" s="12">
        <v>10.0</v>
      </c>
      <c r="C15" s="14" t="s">
        <v>37</v>
      </c>
      <c r="D15" s="14" t="s">
        <v>28</v>
      </c>
      <c r="E15" s="14" t="s">
        <v>55</v>
      </c>
      <c r="F15" s="14"/>
    </row>
    <row r="16">
      <c r="B16" s="12">
        <v>11.0</v>
      </c>
      <c r="C16" s="14" t="s">
        <v>56</v>
      </c>
      <c r="D16" s="14" t="s">
        <v>14</v>
      </c>
      <c r="E16" s="14" t="s">
        <v>59</v>
      </c>
      <c r="F16" s="14" t="s">
        <v>63</v>
      </c>
    </row>
    <row r="17">
      <c r="B17" s="12">
        <v>12.0</v>
      </c>
      <c r="C17" s="14" t="s">
        <v>56</v>
      </c>
      <c r="D17" s="14" t="s">
        <v>14</v>
      </c>
      <c r="E17" s="14" t="s">
        <v>59</v>
      </c>
      <c r="F17" s="14" t="s">
        <v>68</v>
      </c>
    </row>
    <row r="18">
      <c r="B18" s="12">
        <v>13.0</v>
      </c>
      <c r="C18" s="14" t="s">
        <v>56</v>
      </c>
      <c r="D18" s="14" t="s">
        <v>14</v>
      </c>
      <c r="E18" s="14" t="s">
        <v>70</v>
      </c>
      <c r="F18" s="14" t="s">
        <v>68</v>
      </c>
    </row>
    <row r="19">
      <c r="B19" s="12">
        <v>14.0</v>
      </c>
      <c r="C19" s="14" t="s">
        <v>56</v>
      </c>
      <c r="D19" s="14" t="s">
        <v>14</v>
      </c>
      <c r="E19" s="14" t="s">
        <v>70</v>
      </c>
      <c r="F19" s="14" t="s">
        <v>68</v>
      </c>
    </row>
    <row r="20">
      <c r="B20" s="12">
        <v>15.0</v>
      </c>
      <c r="C20" s="14" t="s">
        <v>56</v>
      </c>
      <c r="D20" s="14" t="s">
        <v>14</v>
      </c>
      <c r="E20" s="14" t="s">
        <v>70</v>
      </c>
      <c r="F20" s="14" t="s">
        <v>79</v>
      </c>
    </row>
    <row r="21">
      <c r="B21" s="12">
        <v>16.0</v>
      </c>
      <c r="C21" s="14" t="s">
        <v>56</v>
      </c>
      <c r="D21" s="14" t="s">
        <v>14</v>
      </c>
      <c r="E21" s="14" t="s">
        <v>82</v>
      </c>
      <c r="F21" s="14" t="s">
        <v>83</v>
      </c>
    </row>
    <row r="22">
      <c r="B22" s="12">
        <v>17.0</v>
      </c>
      <c r="C22" s="14" t="s">
        <v>56</v>
      </c>
      <c r="D22" s="14" t="s">
        <v>14</v>
      </c>
      <c r="E22" s="14" t="s">
        <v>82</v>
      </c>
      <c r="F22" s="14" t="s">
        <v>85</v>
      </c>
    </row>
    <row r="23">
      <c r="B23" s="12">
        <v>18.0</v>
      </c>
      <c r="C23" s="14" t="s">
        <v>90</v>
      </c>
      <c r="D23" s="14" t="s">
        <v>91</v>
      </c>
      <c r="E23" s="14" t="s">
        <v>92</v>
      </c>
      <c r="F23" s="14"/>
    </row>
    <row r="24">
      <c r="B24" s="12">
        <v>19.0</v>
      </c>
      <c r="C24" s="14" t="s">
        <v>90</v>
      </c>
      <c r="D24" s="14" t="s">
        <v>91</v>
      </c>
      <c r="E24" s="14" t="s">
        <v>95</v>
      </c>
      <c r="F24" s="14"/>
    </row>
    <row r="25">
      <c r="B25" s="12">
        <v>20.0</v>
      </c>
      <c r="C25" s="14" t="s">
        <v>90</v>
      </c>
      <c r="D25" s="14" t="s">
        <v>91</v>
      </c>
      <c r="E25" s="14" t="s">
        <v>99</v>
      </c>
      <c r="F25" s="14" t="s">
        <v>100</v>
      </c>
    </row>
    <row r="26">
      <c r="B26" s="12">
        <v>21.0</v>
      </c>
      <c r="C26" s="14" t="s">
        <v>90</v>
      </c>
      <c r="D26" s="14" t="s">
        <v>91</v>
      </c>
      <c r="E26" s="14" t="s">
        <v>99</v>
      </c>
      <c r="F26" s="14" t="s">
        <v>104</v>
      </c>
    </row>
    <row r="27">
      <c r="B27" s="12">
        <v>22.0</v>
      </c>
      <c r="C27" s="14" t="s">
        <v>105</v>
      </c>
      <c r="D27" s="14" t="s">
        <v>14</v>
      </c>
      <c r="E27" s="14" t="s">
        <v>108</v>
      </c>
      <c r="F27" s="14" t="s">
        <v>109</v>
      </c>
    </row>
    <row r="28">
      <c r="B28" s="12">
        <v>23.0</v>
      </c>
      <c r="C28" s="14" t="s">
        <v>105</v>
      </c>
      <c r="D28" s="14" t="s">
        <v>14</v>
      </c>
      <c r="E28" s="14" t="s">
        <v>108</v>
      </c>
      <c r="F28" s="14" t="s">
        <v>112</v>
      </c>
    </row>
    <row r="29">
      <c r="B29" s="12">
        <v>24.0</v>
      </c>
      <c r="C29" s="14" t="s">
        <v>105</v>
      </c>
      <c r="D29" s="14" t="s">
        <v>14</v>
      </c>
      <c r="E29" s="14" t="s">
        <v>108</v>
      </c>
      <c r="F29" s="14" t="s">
        <v>118</v>
      </c>
    </row>
    <row r="30">
      <c r="B30" s="12">
        <v>25.0</v>
      </c>
      <c r="C30" s="14" t="s">
        <v>105</v>
      </c>
      <c r="D30" s="14" t="s">
        <v>14</v>
      </c>
      <c r="E30" s="14" t="s">
        <v>108</v>
      </c>
      <c r="F30" s="14" t="s">
        <v>122</v>
      </c>
    </row>
    <row r="31">
      <c r="B31" s="12">
        <v>26.0</v>
      </c>
      <c r="C31" s="14" t="s">
        <v>105</v>
      </c>
      <c r="D31" s="14" t="s">
        <v>14</v>
      </c>
      <c r="E31" s="14" t="s">
        <v>108</v>
      </c>
      <c r="F31" s="14" t="s">
        <v>125</v>
      </c>
    </row>
    <row r="32">
      <c r="B32" s="12">
        <v>27.0</v>
      </c>
      <c r="C32" s="14" t="s">
        <v>56</v>
      </c>
      <c r="D32" s="14" t="s">
        <v>14</v>
      </c>
      <c r="E32" s="14" t="s">
        <v>130</v>
      </c>
      <c r="F32" s="14" t="s">
        <v>131</v>
      </c>
    </row>
    <row r="33">
      <c r="B33" s="12">
        <v>28.0</v>
      </c>
      <c r="C33" s="14" t="s">
        <v>56</v>
      </c>
      <c r="D33" s="14" t="s">
        <v>14</v>
      </c>
      <c r="E33" s="14" t="s">
        <v>130</v>
      </c>
      <c r="F33" s="14" t="s">
        <v>131</v>
      </c>
    </row>
    <row r="34">
      <c r="B34" s="12">
        <v>29.0</v>
      </c>
      <c r="C34" s="14" t="s">
        <v>56</v>
      </c>
      <c r="D34" s="14" t="s">
        <v>14</v>
      </c>
      <c r="E34" s="14" t="s">
        <v>130</v>
      </c>
      <c r="F34" s="14" t="s">
        <v>131</v>
      </c>
    </row>
    <row r="35">
      <c r="B35" s="12">
        <v>30.0</v>
      </c>
      <c r="C35" s="14" t="s">
        <v>56</v>
      </c>
      <c r="D35" s="14" t="s">
        <v>14</v>
      </c>
      <c r="E35" s="14" t="s">
        <v>139</v>
      </c>
      <c r="F35" s="14" t="s">
        <v>131</v>
      </c>
    </row>
    <row r="36">
      <c r="B36" s="12">
        <v>31.0</v>
      </c>
      <c r="C36" s="14" t="s">
        <v>56</v>
      </c>
      <c r="D36" s="14" t="s">
        <v>14</v>
      </c>
      <c r="E36" s="14" t="s">
        <v>139</v>
      </c>
      <c r="F36" s="14" t="s">
        <v>131</v>
      </c>
    </row>
    <row r="37">
      <c r="B37" s="12">
        <v>32.0</v>
      </c>
      <c r="C37" s="14" t="s">
        <v>56</v>
      </c>
      <c r="D37" s="14" t="s">
        <v>14</v>
      </c>
      <c r="E37" s="14" t="s">
        <v>139</v>
      </c>
      <c r="F37" s="14" t="s">
        <v>131</v>
      </c>
    </row>
    <row r="38">
      <c r="B38" s="12">
        <v>33.0</v>
      </c>
      <c r="C38" s="14" t="s">
        <v>56</v>
      </c>
      <c r="D38" s="14" t="s">
        <v>14</v>
      </c>
      <c r="E38" s="14" t="s">
        <v>139</v>
      </c>
      <c r="F38" s="14" t="s">
        <v>131</v>
      </c>
    </row>
    <row r="39">
      <c r="B39" s="12">
        <v>34.0</v>
      </c>
      <c r="C39" s="14" t="s">
        <v>105</v>
      </c>
      <c r="D39" s="14" t="s">
        <v>14</v>
      </c>
      <c r="E39" s="14" t="s">
        <v>151</v>
      </c>
      <c r="F39" s="14" t="s">
        <v>153</v>
      </c>
    </row>
    <row r="40">
      <c r="B40" s="12">
        <v>35.0</v>
      </c>
      <c r="C40" s="14" t="s">
        <v>105</v>
      </c>
      <c r="D40" s="14" t="s">
        <v>14</v>
      </c>
      <c r="E40" s="14" t="s">
        <v>151</v>
      </c>
      <c r="F40" s="14" t="s">
        <v>157</v>
      </c>
    </row>
    <row r="41">
      <c r="B41" s="12">
        <v>36.0</v>
      </c>
      <c r="C41" s="14" t="s">
        <v>105</v>
      </c>
      <c r="D41" s="14" t="s">
        <v>14</v>
      </c>
      <c r="E41" s="14" t="s">
        <v>151</v>
      </c>
      <c r="F41" s="14" t="s">
        <v>164</v>
      </c>
    </row>
    <row r="42">
      <c r="B42" s="12">
        <v>37.0</v>
      </c>
      <c r="C42" s="14" t="s">
        <v>105</v>
      </c>
      <c r="D42" s="14" t="s">
        <v>14</v>
      </c>
      <c r="E42" s="14" t="s">
        <v>151</v>
      </c>
      <c r="F42" s="14" t="s">
        <v>167</v>
      </c>
    </row>
    <row r="43">
      <c r="B43" s="12">
        <v>38.0</v>
      </c>
      <c r="C43" s="14" t="s">
        <v>105</v>
      </c>
      <c r="D43" s="14" t="s">
        <v>14</v>
      </c>
      <c r="E43" s="14" t="s">
        <v>151</v>
      </c>
      <c r="F43" s="14" t="s">
        <v>169</v>
      </c>
    </row>
    <row r="44">
      <c r="B44" s="12">
        <v>39.0</v>
      </c>
      <c r="C44" s="14" t="s">
        <v>56</v>
      </c>
      <c r="D44" s="14" t="s">
        <v>14</v>
      </c>
      <c r="E44" s="14" t="s">
        <v>172</v>
      </c>
      <c r="F44" s="14" t="s">
        <v>174</v>
      </c>
    </row>
    <row r="45">
      <c r="B45" s="12">
        <v>40.0</v>
      </c>
      <c r="C45" s="14" t="s">
        <v>56</v>
      </c>
      <c r="D45" s="14" t="s">
        <v>14</v>
      </c>
      <c r="E45" s="14" t="s">
        <v>172</v>
      </c>
      <c r="F45" s="14" t="s">
        <v>178</v>
      </c>
    </row>
    <row r="46">
      <c r="B46" s="12">
        <v>41.0</v>
      </c>
      <c r="C46" s="14" t="s">
        <v>56</v>
      </c>
      <c r="D46" s="14" t="s">
        <v>14</v>
      </c>
      <c r="E46" s="14" t="s">
        <v>172</v>
      </c>
      <c r="F46" s="14" t="s">
        <v>181</v>
      </c>
    </row>
    <row r="47">
      <c r="B47" s="12">
        <v>42.0</v>
      </c>
      <c r="C47" s="14" t="s">
        <v>56</v>
      </c>
      <c r="D47" s="14" t="s">
        <v>14</v>
      </c>
      <c r="E47" s="14" t="s">
        <v>172</v>
      </c>
      <c r="F47" s="14" t="s">
        <v>183</v>
      </c>
    </row>
    <row r="48">
      <c r="B48" s="12">
        <v>43.0</v>
      </c>
      <c r="C48" s="14" t="s">
        <v>56</v>
      </c>
      <c r="D48" s="14" t="s">
        <v>14</v>
      </c>
      <c r="E48" s="14" t="s">
        <v>185</v>
      </c>
      <c r="F48" s="14" t="s">
        <v>186</v>
      </c>
    </row>
    <row r="49">
      <c r="B49" s="12">
        <v>44.0</v>
      </c>
      <c r="C49" s="14" t="s">
        <v>56</v>
      </c>
      <c r="D49" s="14" t="s">
        <v>14</v>
      </c>
      <c r="E49" s="14" t="s">
        <v>185</v>
      </c>
      <c r="F49" s="14" t="s">
        <v>187</v>
      </c>
    </row>
    <row r="50">
      <c r="B50" s="12">
        <v>45.0</v>
      </c>
      <c r="C50" s="14" t="s">
        <v>56</v>
      </c>
      <c r="D50" s="14" t="s">
        <v>14</v>
      </c>
      <c r="E50" s="14" t="s">
        <v>189</v>
      </c>
      <c r="F50" s="14" t="s">
        <v>191</v>
      </c>
    </row>
    <row r="51">
      <c r="B51" s="12">
        <v>46.0</v>
      </c>
      <c r="C51" s="14" t="s">
        <v>192</v>
      </c>
      <c r="D51" s="14" t="s">
        <v>14</v>
      </c>
      <c r="E51" s="14" t="s">
        <v>189</v>
      </c>
      <c r="F51" s="14" t="s">
        <v>193</v>
      </c>
    </row>
    <row r="52">
      <c r="B52" s="12">
        <v>47.0</v>
      </c>
      <c r="C52" s="14" t="s">
        <v>56</v>
      </c>
      <c r="D52" s="14" t="s">
        <v>14</v>
      </c>
      <c r="E52" s="14" t="s">
        <v>130</v>
      </c>
      <c r="F52" s="14" t="s">
        <v>131</v>
      </c>
    </row>
    <row r="53">
      <c r="B53" s="12">
        <v>48.0</v>
      </c>
      <c r="C53" s="14" t="s">
        <v>56</v>
      </c>
      <c r="D53" s="14" t="s">
        <v>14</v>
      </c>
      <c r="E53" s="14" t="s">
        <v>130</v>
      </c>
      <c r="F53" s="14" t="s">
        <v>194</v>
      </c>
    </row>
    <row r="54">
      <c r="B54" s="12">
        <v>49.0</v>
      </c>
      <c r="C54" s="14" t="s">
        <v>192</v>
      </c>
      <c r="D54" s="14" t="s">
        <v>195</v>
      </c>
      <c r="E54" s="14" t="s">
        <v>196</v>
      </c>
      <c r="F54" s="14" t="s">
        <v>197</v>
      </c>
    </row>
    <row r="55">
      <c r="B55" s="12">
        <v>50.0</v>
      </c>
      <c r="C55" s="14" t="s">
        <v>192</v>
      </c>
      <c r="D55" s="14" t="s">
        <v>195</v>
      </c>
      <c r="E55" s="14" t="s">
        <v>196</v>
      </c>
      <c r="F55" s="14" t="s">
        <v>198</v>
      </c>
    </row>
    <row r="56">
      <c r="B56" s="12">
        <v>51.0</v>
      </c>
      <c r="C56" s="14" t="s">
        <v>192</v>
      </c>
      <c r="D56" s="14" t="s">
        <v>195</v>
      </c>
      <c r="E56" s="14" t="s">
        <v>18</v>
      </c>
      <c r="F56" s="14" t="s">
        <v>199</v>
      </c>
    </row>
    <row r="57">
      <c r="B57" s="12">
        <v>52.0</v>
      </c>
      <c r="C57" s="14" t="s">
        <v>192</v>
      </c>
      <c r="D57" s="14" t="s">
        <v>195</v>
      </c>
      <c r="E57" s="14" t="s">
        <v>18</v>
      </c>
      <c r="F57" s="14" t="s">
        <v>200</v>
      </c>
    </row>
    <row r="58">
      <c r="B58" s="12">
        <v>53.0</v>
      </c>
      <c r="C58" s="14" t="s">
        <v>192</v>
      </c>
      <c r="D58" s="14" t="s">
        <v>195</v>
      </c>
      <c r="E58" s="14" t="s">
        <v>18</v>
      </c>
      <c r="F58" s="14" t="s">
        <v>191</v>
      </c>
    </row>
    <row r="59">
      <c r="B59" s="12">
        <v>54.0</v>
      </c>
      <c r="C59" s="14" t="s">
        <v>192</v>
      </c>
      <c r="D59" s="14" t="s">
        <v>195</v>
      </c>
      <c r="E59" s="14" t="s">
        <v>18</v>
      </c>
      <c r="F59" s="14" t="s">
        <v>193</v>
      </c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5.88"/>
    <col customWidth="1" min="4" max="4" width="34.75"/>
    <col customWidth="1" min="5" max="5" width="37.25"/>
    <col customWidth="1" min="6" max="6" width="32.0"/>
  </cols>
  <sheetData>
    <row r="2">
      <c r="B2" s="2" t="s">
        <v>0</v>
      </c>
      <c r="C2" s="4" t="s">
        <v>2</v>
      </c>
      <c r="D2" s="5"/>
      <c r="E2" s="5"/>
      <c r="F2" s="6"/>
    </row>
    <row r="3">
      <c r="B3" s="2" t="s">
        <v>4</v>
      </c>
      <c r="C3" s="10" t="s">
        <v>5</v>
      </c>
      <c r="D3" s="5"/>
      <c r="E3" s="5"/>
      <c r="F3" s="6"/>
    </row>
    <row r="4">
      <c r="B4" s="1"/>
    </row>
    <row r="5"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>
      <c r="B6" s="1">
        <v>1.0</v>
      </c>
      <c r="C6" s="1" t="s">
        <v>11</v>
      </c>
      <c r="D6" s="1" t="s">
        <v>12</v>
      </c>
      <c r="E6" s="1" t="s">
        <v>13</v>
      </c>
      <c r="F6" s="1" t="s">
        <v>14</v>
      </c>
    </row>
    <row r="7">
      <c r="B7" s="1">
        <v>2.0</v>
      </c>
      <c r="C7" s="1" t="s">
        <v>11</v>
      </c>
      <c r="D7" s="1" t="s">
        <v>12</v>
      </c>
      <c r="E7" s="1" t="s">
        <v>13</v>
      </c>
      <c r="F7" s="1" t="s">
        <v>15</v>
      </c>
    </row>
    <row r="8">
      <c r="B8" s="1">
        <v>3.0</v>
      </c>
      <c r="C8" s="1" t="s">
        <v>16</v>
      </c>
      <c r="D8" s="1" t="s">
        <v>12</v>
      </c>
      <c r="E8" s="1" t="s">
        <v>13</v>
      </c>
      <c r="F8" s="1" t="s">
        <v>18</v>
      </c>
    </row>
    <row r="9">
      <c r="B9" s="1">
        <v>4.0</v>
      </c>
      <c r="C9" s="1" t="s">
        <v>20</v>
      </c>
      <c r="D9" s="1" t="s">
        <v>21</v>
      </c>
      <c r="E9" s="1" t="s">
        <v>23</v>
      </c>
      <c r="F9" s="1" t="s">
        <v>24</v>
      </c>
    </row>
    <row r="10">
      <c r="B10" s="1">
        <v>5.0</v>
      </c>
      <c r="C10" s="1" t="s">
        <v>20</v>
      </c>
      <c r="D10" s="1" t="s">
        <v>21</v>
      </c>
      <c r="E10" s="1" t="s">
        <v>23</v>
      </c>
      <c r="F10" s="1" t="s">
        <v>26</v>
      </c>
    </row>
    <row r="11">
      <c r="B11" s="1">
        <v>6.0</v>
      </c>
      <c r="C11" s="1" t="s">
        <v>20</v>
      </c>
      <c r="D11" s="1" t="s">
        <v>21</v>
      </c>
      <c r="E11" s="1" t="s">
        <v>23</v>
      </c>
      <c r="F11" s="1" t="s">
        <v>31</v>
      </c>
    </row>
    <row r="12">
      <c r="B12" s="1">
        <v>7.0</v>
      </c>
      <c r="C12" s="1" t="s">
        <v>20</v>
      </c>
      <c r="D12" s="1" t="s">
        <v>21</v>
      </c>
      <c r="E12" s="1" t="s">
        <v>23</v>
      </c>
      <c r="F12" s="1" t="s">
        <v>33</v>
      </c>
    </row>
    <row r="13">
      <c r="B13" s="1">
        <v>8.0</v>
      </c>
      <c r="C13" s="1" t="s">
        <v>35</v>
      </c>
      <c r="D13" s="1" t="s">
        <v>36</v>
      </c>
      <c r="E13" s="1" t="s">
        <v>38</v>
      </c>
      <c r="F13" s="1" t="s">
        <v>39</v>
      </c>
    </row>
    <row r="14">
      <c r="B14" s="1">
        <v>9.0</v>
      </c>
      <c r="C14" s="1" t="s">
        <v>35</v>
      </c>
      <c r="D14" s="1" t="s">
        <v>36</v>
      </c>
      <c r="E14" s="1" t="s">
        <v>41</v>
      </c>
      <c r="F14" s="1" t="s">
        <v>42</v>
      </c>
    </row>
    <row r="15">
      <c r="B15" s="1">
        <v>10.0</v>
      </c>
      <c r="C15" s="1" t="s">
        <v>35</v>
      </c>
      <c r="D15" s="1" t="s">
        <v>36</v>
      </c>
      <c r="E15" s="1" t="s">
        <v>44</v>
      </c>
      <c r="F15" s="1" t="s">
        <v>45</v>
      </c>
    </row>
    <row r="16">
      <c r="B16" s="1">
        <v>11.0</v>
      </c>
      <c r="C16" s="1" t="s">
        <v>47</v>
      </c>
      <c r="D16" s="1" t="s">
        <v>36</v>
      </c>
      <c r="E16" s="1" t="s">
        <v>48</v>
      </c>
      <c r="F16" s="1" t="s">
        <v>50</v>
      </c>
    </row>
    <row r="17">
      <c r="B17" s="1">
        <v>12.0</v>
      </c>
      <c r="C17" s="1" t="s">
        <v>51</v>
      </c>
      <c r="D17" s="1" t="s">
        <v>36</v>
      </c>
      <c r="E17" s="1" t="s">
        <v>53</v>
      </c>
      <c r="F17" s="1" t="s">
        <v>54</v>
      </c>
    </row>
    <row r="18">
      <c r="B18" s="1">
        <v>13.0</v>
      </c>
      <c r="C18" s="1" t="s">
        <v>51</v>
      </c>
      <c r="D18" s="1" t="s">
        <v>36</v>
      </c>
      <c r="E18" s="1" t="s">
        <v>57</v>
      </c>
      <c r="F18" s="1" t="s">
        <v>58</v>
      </c>
    </row>
    <row r="19">
      <c r="B19" s="1">
        <v>14.0</v>
      </c>
      <c r="C19" s="1" t="s">
        <v>51</v>
      </c>
      <c r="D19" s="1" t="s">
        <v>36</v>
      </c>
      <c r="E19" s="1" t="s">
        <v>60</v>
      </c>
      <c r="F19" s="1" t="s">
        <v>61</v>
      </c>
    </row>
    <row r="20">
      <c r="B20" s="1">
        <v>15.0</v>
      </c>
      <c r="C20" s="1" t="s">
        <v>51</v>
      </c>
      <c r="D20" s="1" t="s">
        <v>36</v>
      </c>
      <c r="E20" s="1" t="s">
        <v>41</v>
      </c>
      <c r="F20" s="1" t="s">
        <v>62</v>
      </c>
    </row>
    <row r="21">
      <c r="B21" s="1">
        <v>16.0</v>
      </c>
      <c r="C21" s="1" t="s">
        <v>51</v>
      </c>
      <c r="D21" s="1" t="s">
        <v>36</v>
      </c>
      <c r="E21" s="1" t="s">
        <v>44</v>
      </c>
      <c r="F21" s="1" t="s">
        <v>64</v>
      </c>
    </row>
    <row r="22">
      <c r="B22" s="1">
        <v>17.0</v>
      </c>
      <c r="C22" s="1" t="s">
        <v>51</v>
      </c>
      <c r="D22" s="1" t="s">
        <v>36</v>
      </c>
      <c r="E22" s="1" t="s">
        <v>48</v>
      </c>
      <c r="F22" s="1" t="s">
        <v>66</v>
      </c>
    </row>
    <row r="23">
      <c r="B23" s="1">
        <v>18.0</v>
      </c>
      <c r="C23" s="1" t="s">
        <v>51</v>
      </c>
      <c r="D23" s="1" t="s">
        <v>36</v>
      </c>
      <c r="E23" s="1" t="s">
        <v>53</v>
      </c>
      <c r="F23" s="1" t="s">
        <v>67</v>
      </c>
    </row>
    <row r="24">
      <c r="B24" s="1">
        <v>19.0</v>
      </c>
      <c r="C24" s="1" t="s">
        <v>35</v>
      </c>
      <c r="D24" s="1" t="s">
        <v>36</v>
      </c>
      <c r="E24" s="1" t="s">
        <v>57</v>
      </c>
      <c r="F24" s="1" t="s">
        <v>69</v>
      </c>
    </row>
    <row r="25">
      <c r="B25" s="1">
        <v>20.0</v>
      </c>
      <c r="C25" s="1" t="s">
        <v>35</v>
      </c>
      <c r="D25" s="1" t="s">
        <v>36</v>
      </c>
      <c r="E25" s="1" t="s">
        <v>60</v>
      </c>
      <c r="F25" s="1" t="s">
        <v>71</v>
      </c>
    </row>
    <row r="26">
      <c r="B26" s="1">
        <v>21.0</v>
      </c>
      <c r="C26" s="1" t="s">
        <v>72</v>
      </c>
      <c r="D26" s="1" t="s">
        <v>36</v>
      </c>
      <c r="E26" s="1" t="s">
        <v>73</v>
      </c>
      <c r="F26" s="1" t="s">
        <v>74</v>
      </c>
    </row>
    <row r="27">
      <c r="B27" s="1">
        <v>22.0</v>
      </c>
      <c r="C27" s="1" t="s">
        <v>35</v>
      </c>
      <c r="D27" s="1" t="s">
        <v>75</v>
      </c>
      <c r="E27" s="1" t="s">
        <v>76</v>
      </c>
      <c r="F27" s="1" t="s">
        <v>77</v>
      </c>
    </row>
    <row r="28">
      <c r="B28" s="1">
        <v>23.0</v>
      </c>
      <c r="C28" s="1" t="s">
        <v>35</v>
      </c>
      <c r="D28" s="1" t="s">
        <v>75</v>
      </c>
      <c r="E28" s="1" t="s">
        <v>76</v>
      </c>
      <c r="F28" s="1" t="s">
        <v>80</v>
      </c>
    </row>
    <row r="29">
      <c r="B29" s="1">
        <v>24.0</v>
      </c>
      <c r="C29" s="1" t="s">
        <v>16</v>
      </c>
      <c r="D29" s="1" t="s">
        <v>75</v>
      </c>
      <c r="E29" s="1" t="s">
        <v>76</v>
      </c>
      <c r="F29" s="1" t="s">
        <v>84</v>
      </c>
    </row>
    <row r="30">
      <c r="B30" s="1">
        <v>25.0</v>
      </c>
      <c r="C30" s="1" t="s">
        <v>86</v>
      </c>
      <c r="D30" s="1" t="s">
        <v>87</v>
      </c>
      <c r="E30" s="1" t="s">
        <v>88</v>
      </c>
      <c r="F30" s="1" t="s">
        <v>89</v>
      </c>
    </row>
    <row r="31">
      <c r="B31" s="1">
        <v>26.0</v>
      </c>
      <c r="C31" s="1" t="s">
        <v>16</v>
      </c>
      <c r="D31" s="1" t="s">
        <v>87</v>
      </c>
      <c r="E31" s="1" t="s">
        <v>88</v>
      </c>
      <c r="F31" s="1" t="s">
        <v>93</v>
      </c>
    </row>
    <row r="32">
      <c r="B32" s="1">
        <v>27.0</v>
      </c>
      <c r="C32" s="1" t="s">
        <v>35</v>
      </c>
      <c r="D32" s="1" t="s">
        <v>87</v>
      </c>
      <c r="E32" s="1" t="s">
        <v>88</v>
      </c>
      <c r="F32" s="1" t="s">
        <v>94</v>
      </c>
    </row>
    <row r="33">
      <c r="B33" s="1">
        <v>28.0</v>
      </c>
      <c r="C33" s="1" t="s">
        <v>35</v>
      </c>
      <c r="D33" s="1" t="s">
        <v>96</v>
      </c>
      <c r="E33" s="1" t="s">
        <v>97</v>
      </c>
      <c r="F33" s="1" t="s">
        <v>98</v>
      </c>
    </row>
    <row r="34">
      <c r="B34" s="1">
        <v>29.0</v>
      </c>
      <c r="C34" s="1" t="s">
        <v>35</v>
      </c>
      <c r="D34" s="1" t="s">
        <v>96</v>
      </c>
      <c r="E34" s="1" t="s">
        <v>97</v>
      </c>
      <c r="F34" s="1" t="s">
        <v>101</v>
      </c>
    </row>
    <row r="35">
      <c r="B35" s="1">
        <v>30.0</v>
      </c>
      <c r="C35" s="1" t="s">
        <v>35</v>
      </c>
      <c r="D35" s="1" t="s">
        <v>96</v>
      </c>
      <c r="E35" s="1" t="s">
        <v>97</v>
      </c>
      <c r="F35" s="1" t="s">
        <v>103</v>
      </c>
    </row>
    <row r="36">
      <c r="B36" s="1">
        <v>31.0</v>
      </c>
      <c r="C36" s="1" t="s">
        <v>35</v>
      </c>
      <c r="D36" s="1" t="s">
        <v>96</v>
      </c>
      <c r="E36" s="1" t="s">
        <v>97</v>
      </c>
      <c r="F36" s="1" t="s">
        <v>106</v>
      </c>
    </row>
    <row r="37">
      <c r="B37" s="1">
        <v>32.0</v>
      </c>
      <c r="C37" s="1" t="s">
        <v>35</v>
      </c>
      <c r="D37" s="1" t="s">
        <v>96</v>
      </c>
      <c r="E37" s="1" t="s">
        <v>97</v>
      </c>
      <c r="F37" s="1" t="s">
        <v>107</v>
      </c>
    </row>
    <row r="38">
      <c r="B38" s="1">
        <v>33.0</v>
      </c>
      <c r="C38" s="1" t="s">
        <v>35</v>
      </c>
      <c r="D38" s="1" t="s">
        <v>96</v>
      </c>
      <c r="E38" s="1" t="s">
        <v>97</v>
      </c>
      <c r="F38" s="1" t="s">
        <v>110</v>
      </c>
    </row>
    <row r="39">
      <c r="B39" s="1">
        <v>34.0</v>
      </c>
      <c r="C39" s="1" t="s">
        <v>35</v>
      </c>
      <c r="D39" s="1" t="s">
        <v>96</v>
      </c>
      <c r="E39" s="1" t="s">
        <v>97</v>
      </c>
      <c r="F39" s="1" t="s">
        <v>111</v>
      </c>
    </row>
    <row r="40">
      <c r="B40" s="1">
        <v>35.0</v>
      </c>
      <c r="C40" s="1" t="s">
        <v>35</v>
      </c>
      <c r="D40" s="1" t="s">
        <v>96</v>
      </c>
      <c r="E40" s="1" t="s">
        <v>97</v>
      </c>
      <c r="F40" s="1" t="s">
        <v>114</v>
      </c>
    </row>
    <row r="41">
      <c r="B41" s="1">
        <v>36.0</v>
      </c>
      <c r="C41" s="1" t="s">
        <v>51</v>
      </c>
      <c r="D41" s="1" t="s">
        <v>115</v>
      </c>
      <c r="E41" s="1" t="s">
        <v>116</v>
      </c>
      <c r="F41" s="1" t="s">
        <v>117</v>
      </c>
    </row>
    <row r="42">
      <c r="B42" s="1">
        <v>37.0</v>
      </c>
      <c r="C42" s="1" t="s">
        <v>16</v>
      </c>
      <c r="D42" s="1" t="s">
        <v>119</v>
      </c>
      <c r="E42" s="1" t="s">
        <v>120</v>
      </c>
      <c r="F42" s="1" t="s">
        <v>121</v>
      </c>
    </row>
    <row r="43">
      <c r="B43" s="1">
        <v>38.0</v>
      </c>
      <c r="C43" s="1" t="s">
        <v>16</v>
      </c>
      <c r="D43" s="1" t="s">
        <v>119</v>
      </c>
      <c r="E43" s="1" t="s">
        <v>120</v>
      </c>
      <c r="F43" s="1" t="s">
        <v>123</v>
      </c>
    </row>
    <row r="44">
      <c r="B44" s="1">
        <v>39.0</v>
      </c>
      <c r="C44" s="1" t="s">
        <v>16</v>
      </c>
      <c r="D44" s="1" t="s">
        <v>119</v>
      </c>
      <c r="E44" s="1" t="s">
        <v>120</v>
      </c>
      <c r="F44" s="1" t="s">
        <v>124</v>
      </c>
    </row>
    <row r="45">
      <c r="B45" s="1">
        <v>40.0</v>
      </c>
      <c r="C45" s="1" t="s">
        <v>16</v>
      </c>
      <c r="D45" s="1" t="s">
        <v>119</v>
      </c>
      <c r="E45" s="1" t="s">
        <v>120</v>
      </c>
      <c r="F45" s="1" t="s">
        <v>126</v>
      </c>
    </row>
    <row r="46">
      <c r="B46" s="1">
        <v>41.0</v>
      </c>
      <c r="C46" s="1" t="s">
        <v>35</v>
      </c>
      <c r="D46" s="1" t="s">
        <v>127</v>
      </c>
      <c r="E46" s="1" t="s">
        <v>128</v>
      </c>
      <c r="F46" s="1" t="s">
        <v>129</v>
      </c>
    </row>
    <row r="47">
      <c r="B47" s="1">
        <v>42.0</v>
      </c>
      <c r="C47" s="1" t="s">
        <v>35</v>
      </c>
      <c r="D47" s="1" t="s">
        <v>127</v>
      </c>
      <c r="E47" s="1" t="s">
        <v>128</v>
      </c>
      <c r="F47" s="1" t="s">
        <v>132</v>
      </c>
    </row>
    <row r="48">
      <c r="B48" s="1">
        <v>43.0</v>
      </c>
      <c r="C48" s="1" t="s">
        <v>35</v>
      </c>
      <c r="D48" s="1" t="s">
        <v>127</v>
      </c>
      <c r="E48" s="1" t="s">
        <v>128</v>
      </c>
      <c r="F48" s="1" t="s">
        <v>134</v>
      </c>
    </row>
    <row r="49">
      <c r="B49" s="1">
        <v>44.0</v>
      </c>
      <c r="C49" s="1" t="s">
        <v>35</v>
      </c>
      <c r="D49" s="1" t="s">
        <v>127</v>
      </c>
      <c r="E49" s="1" t="s">
        <v>128</v>
      </c>
      <c r="F49" s="1" t="s">
        <v>135</v>
      </c>
    </row>
    <row r="50">
      <c r="B50" s="1">
        <v>45.0</v>
      </c>
      <c r="C50" s="1" t="s">
        <v>35</v>
      </c>
      <c r="D50" s="1" t="s">
        <v>136</v>
      </c>
      <c r="E50" s="1" t="s">
        <v>137</v>
      </c>
      <c r="F50" s="1" t="s">
        <v>138</v>
      </c>
    </row>
    <row r="51">
      <c r="B51" s="1">
        <v>46.0</v>
      </c>
      <c r="C51" s="1" t="s">
        <v>35</v>
      </c>
      <c r="D51" s="1" t="s">
        <v>136</v>
      </c>
      <c r="E51" s="1" t="s">
        <v>137</v>
      </c>
      <c r="F51" s="1" t="s">
        <v>140</v>
      </c>
    </row>
    <row r="52">
      <c r="B52" s="1">
        <v>47.0</v>
      </c>
      <c r="C52" s="1" t="s">
        <v>35</v>
      </c>
      <c r="D52" s="1" t="s">
        <v>136</v>
      </c>
      <c r="E52" s="1" t="s">
        <v>137</v>
      </c>
      <c r="F52" s="1" t="s">
        <v>141</v>
      </c>
    </row>
    <row r="53">
      <c r="B53" s="1">
        <v>48.0</v>
      </c>
      <c r="C53" s="1" t="s">
        <v>35</v>
      </c>
      <c r="D53" s="1" t="s">
        <v>136</v>
      </c>
      <c r="E53" s="1" t="s">
        <v>137</v>
      </c>
      <c r="F53" s="1" t="s">
        <v>143</v>
      </c>
    </row>
    <row r="54">
      <c r="B54" s="1">
        <v>49.0</v>
      </c>
      <c r="C54" s="1" t="s">
        <v>51</v>
      </c>
      <c r="D54" s="1" t="s">
        <v>144</v>
      </c>
      <c r="E54" s="1" t="s">
        <v>145</v>
      </c>
      <c r="F54" s="1" t="s">
        <v>147</v>
      </c>
    </row>
    <row r="55">
      <c r="B55" s="1">
        <v>50.0</v>
      </c>
      <c r="C55" s="1" t="s">
        <v>51</v>
      </c>
      <c r="D55" s="1" t="s">
        <v>144</v>
      </c>
      <c r="E55" s="1" t="s">
        <v>145</v>
      </c>
      <c r="F55" s="1" t="s">
        <v>148</v>
      </c>
    </row>
    <row r="56">
      <c r="B56" s="1">
        <v>51.0</v>
      </c>
      <c r="C56" s="1" t="s">
        <v>51</v>
      </c>
      <c r="D56" s="1" t="s">
        <v>144</v>
      </c>
      <c r="E56" s="1" t="s">
        <v>145</v>
      </c>
      <c r="F56" s="1" t="s">
        <v>150</v>
      </c>
    </row>
    <row r="57">
      <c r="B57" s="1">
        <v>52.0</v>
      </c>
      <c r="C57" s="1" t="s">
        <v>51</v>
      </c>
      <c r="D57" s="1" t="s">
        <v>144</v>
      </c>
      <c r="E57" s="1" t="s">
        <v>145</v>
      </c>
      <c r="F57" s="1" t="s">
        <v>152</v>
      </c>
    </row>
    <row r="58">
      <c r="B58" s="1">
        <v>53.0</v>
      </c>
      <c r="C58" s="1" t="s">
        <v>51</v>
      </c>
      <c r="D58" s="1" t="s">
        <v>144</v>
      </c>
      <c r="E58" s="1" t="s">
        <v>145</v>
      </c>
      <c r="F58" s="1" t="s">
        <v>154</v>
      </c>
    </row>
    <row r="59">
      <c r="B59" s="1">
        <v>54.0</v>
      </c>
      <c r="C59" s="1" t="s">
        <v>51</v>
      </c>
      <c r="D59" s="1" t="s">
        <v>144</v>
      </c>
      <c r="E59" s="1" t="s">
        <v>145</v>
      </c>
      <c r="F59" s="1" t="s">
        <v>155</v>
      </c>
    </row>
    <row r="60">
      <c r="B60" s="1">
        <v>55.0</v>
      </c>
      <c r="C60" s="1" t="s">
        <v>51</v>
      </c>
      <c r="D60" s="1" t="s">
        <v>144</v>
      </c>
      <c r="E60" s="1" t="s">
        <v>145</v>
      </c>
      <c r="F60" s="1" t="s">
        <v>158</v>
      </c>
    </row>
    <row r="61">
      <c r="B61" s="1">
        <v>56.0</v>
      </c>
      <c r="C61" s="1" t="s">
        <v>51</v>
      </c>
      <c r="D61" s="1" t="s">
        <v>159</v>
      </c>
      <c r="E61" s="1" t="s">
        <v>161</v>
      </c>
      <c r="F61" s="1" t="s">
        <v>162</v>
      </c>
    </row>
    <row r="62">
      <c r="B62" s="1">
        <v>57.0</v>
      </c>
      <c r="C62" s="1" t="s">
        <v>51</v>
      </c>
      <c r="D62" s="1" t="s">
        <v>159</v>
      </c>
      <c r="E62" s="1" t="s">
        <v>161</v>
      </c>
      <c r="F62" s="1" t="s">
        <v>165</v>
      </c>
    </row>
    <row r="63">
      <c r="B63" s="1">
        <v>58.0</v>
      </c>
      <c r="C63" s="1" t="s">
        <v>51</v>
      </c>
      <c r="D63" s="1" t="s">
        <v>159</v>
      </c>
      <c r="E63" s="1" t="s">
        <v>161</v>
      </c>
      <c r="F63" s="1" t="s">
        <v>166</v>
      </c>
    </row>
    <row r="64">
      <c r="B64" s="1">
        <v>59.0</v>
      </c>
      <c r="C64" s="1" t="s">
        <v>51</v>
      </c>
      <c r="D64" s="1" t="s">
        <v>159</v>
      </c>
      <c r="E64" s="1" t="s">
        <v>161</v>
      </c>
      <c r="F64" s="1" t="s">
        <v>168</v>
      </c>
    </row>
    <row r="65">
      <c r="B65" s="1">
        <v>60.0</v>
      </c>
      <c r="C65" s="1" t="s">
        <v>16</v>
      </c>
      <c r="D65" s="1" t="s">
        <v>159</v>
      </c>
      <c r="E65" s="1" t="s">
        <v>161</v>
      </c>
      <c r="F65" s="1" t="s">
        <v>170</v>
      </c>
    </row>
    <row r="66">
      <c r="B66" s="1">
        <v>61.0</v>
      </c>
      <c r="C66" s="1" t="s">
        <v>16</v>
      </c>
      <c r="D66" s="1" t="s">
        <v>159</v>
      </c>
      <c r="E66" s="1" t="s">
        <v>161</v>
      </c>
      <c r="F66" s="1" t="s">
        <v>171</v>
      </c>
    </row>
    <row r="67">
      <c r="B67" s="1">
        <v>62.0</v>
      </c>
      <c r="C67" s="1" t="s">
        <v>16</v>
      </c>
      <c r="D67" s="1" t="s">
        <v>159</v>
      </c>
      <c r="E67" s="1" t="s">
        <v>161</v>
      </c>
      <c r="F67" s="1" t="s">
        <v>173</v>
      </c>
    </row>
    <row r="68">
      <c r="B68" s="1">
        <v>63.0</v>
      </c>
      <c r="C68" s="1" t="s">
        <v>86</v>
      </c>
      <c r="D68" s="1" t="s">
        <v>175</v>
      </c>
      <c r="E68" s="1" t="s">
        <v>176</v>
      </c>
      <c r="F68" s="1" t="s">
        <v>177</v>
      </c>
    </row>
    <row r="69">
      <c r="B69" s="1">
        <v>64.0</v>
      </c>
      <c r="C69" s="1" t="s">
        <v>86</v>
      </c>
      <c r="D69" s="1" t="s">
        <v>175</v>
      </c>
      <c r="E69" s="1" t="s">
        <v>176</v>
      </c>
      <c r="F69" s="1" t="s">
        <v>179</v>
      </c>
    </row>
    <row r="70">
      <c r="B70" s="1">
        <v>65.0</v>
      </c>
      <c r="C70" s="1" t="s">
        <v>86</v>
      </c>
      <c r="D70" s="1" t="s">
        <v>175</v>
      </c>
      <c r="E70" s="1" t="s">
        <v>176</v>
      </c>
      <c r="F70" s="1" t="s">
        <v>180</v>
      </c>
    </row>
    <row r="71">
      <c r="B71" s="1">
        <v>66.0</v>
      </c>
      <c r="C71" s="1" t="s">
        <v>86</v>
      </c>
      <c r="D71" s="1" t="s">
        <v>175</v>
      </c>
      <c r="E71" s="1" t="s">
        <v>176</v>
      </c>
      <c r="F71" s="1" t="s">
        <v>182</v>
      </c>
    </row>
    <row r="72">
      <c r="B72" s="1">
        <v>67.0</v>
      </c>
      <c r="C72" s="1" t="s">
        <v>86</v>
      </c>
      <c r="D72" s="1" t="s">
        <v>175</v>
      </c>
      <c r="E72" s="1" t="s">
        <v>176</v>
      </c>
      <c r="F72" s="1" t="s">
        <v>184</v>
      </c>
    </row>
    <row r="73">
      <c r="B73" s="1">
        <v>68.0</v>
      </c>
      <c r="C73" s="1" t="s">
        <v>86</v>
      </c>
      <c r="D73" s="1" t="s">
        <v>175</v>
      </c>
      <c r="E73" s="1" t="s">
        <v>176</v>
      </c>
      <c r="F73" s="1" t="s">
        <v>188</v>
      </c>
    </row>
    <row r="74">
      <c r="B74" s="1">
        <v>69.0</v>
      </c>
      <c r="C74" s="1" t="s">
        <v>86</v>
      </c>
      <c r="D74" s="1" t="s">
        <v>175</v>
      </c>
      <c r="E74" s="1" t="s">
        <v>176</v>
      </c>
      <c r="F74" s="1" t="s">
        <v>190</v>
      </c>
    </row>
  </sheetData>
  <mergeCells count="2">
    <mergeCell ref="C2:F2"/>
    <mergeCell ref="C3:F3"/>
  </mergeCells>
  <drawing r:id="rId1"/>
</worksheet>
</file>